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DELL\AppData\Roaming\Microsoft\Windows\Network Shortcuts\"/>
    </mc:Choice>
  </mc:AlternateContent>
  <xr:revisionPtr revIDLastSave="0" documentId="8_{6AABBE1C-C45C-4243-A42F-A0D8E443E3FB}" xr6:coauthVersionLast="47" xr6:coauthVersionMax="47" xr10:uidLastSave="{00000000-0000-0000-0000-000000000000}"/>
  <bookViews>
    <workbookView xWindow="780" yWindow="780" windowWidth="15375" windowHeight="7875" xr2:uid="{00000000-000D-0000-FFFF-FFFF00000000}"/>
  </bookViews>
  <sheets>
    <sheet name="Assumptions &amp; Drivers" sheetId="1" r:id="rId1"/>
    <sheet name="Institute ROI Calculator" sheetId="2" r:id="rId2"/>
    <sheet name="Platform Unit Economics" sheetId="3" r:id="rId3"/>
    <sheet name="3-Year Projections" sheetId="4" r:id="rId4"/>
    <sheet name="Sensitivity Analysi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5" l="1"/>
  <c r="G11" i="5"/>
  <c r="F11" i="5"/>
  <c r="E11" i="5"/>
  <c r="D11" i="5"/>
  <c r="H10" i="5"/>
  <c r="G10" i="5"/>
  <c r="F10" i="5"/>
  <c r="E10" i="5"/>
  <c r="D10" i="5"/>
  <c r="H9" i="5"/>
  <c r="G9" i="5"/>
  <c r="F9" i="5"/>
  <c r="E9" i="5"/>
  <c r="D9" i="5"/>
  <c r="H8" i="5"/>
  <c r="G8" i="5"/>
  <c r="F8" i="5"/>
  <c r="E8" i="5"/>
  <c r="D8" i="5"/>
  <c r="H7" i="5"/>
  <c r="G7" i="5"/>
  <c r="F7" i="5"/>
  <c r="E7" i="5"/>
  <c r="D7" i="5"/>
  <c r="I27" i="4"/>
  <c r="H27" i="4"/>
  <c r="F27" i="4"/>
  <c r="E27" i="4"/>
  <c r="D27" i="4"/>
  <c r="C27" i="4"/>
  <c r="G26" i="4"/>
  <c r="G25" i="4"/>
  <c r="G24" i="4"/>
  <c r="G27" i="4"/>
  <c r="I19" i="4"/>
  <c r="H19" i="4"/>
  <c r="F19" i="4"/>
  <c r="E19" i="4"/>
  <c r="D19" i="4"/>
  <c r="C19" i="4"/>
  <c r="G18" i="4"/>
  <c r="G17" i="4"/>
  <c r="G16" i="4"/>
  <c r="G15" i="4"/>
  <c r="G19" i="4"/>
  <c r="I12" i="4"/>
  <c r="I20" i="4"/>
  <c r="H12" i="4"/>
  <c r="H20" i="4"/>
  <c r="F12" i="4"/>
  <c r="F20" i="4"/>
  <c r="E12" i="4"/>
  <c r="E20" i="4"/>
  <c r="D12" i="4"/>
  <c r="D20" i="4"/>
  <c r="C12" i="4"/>
  <c r="C20" i="4"/>
  <c r="G11" i="4"/>
  <c r="G10" i="4"/>
  <c r="G12" i="4"/>
  <c r="G20" i="4"/>
  <c r="G7" i="4"/>
  <c r="G6" i="4"/>
  <c r="C20" i="3"/>
  <c r="C21" i="3"/>
  <c r="C23" i="3"/>
  <c r="C15" i="3"/>
  <c r="C14" i="3"/>
  <c r="C9" i="2"/>
  <c r="C7" i="2"/>
  <c r="C6" i="2"/>
  <c r="C35" i="1"/>
  <c r="C32" i="1"/>
  <c r="C27" i="1"/>
  <c r="C7" i="3"/>
  <c r="C9" i="3"/>
  <c r="C19" i="1"/>
  <c r="C6" i="3"/>
  <c r="C10" i="1"/>
  <c r="C13" i="1"/>
  <c r="C11" i="2"/>
  <c r="C8" i="2"/>
  <c r="C10" i="3"/>
  <c r="C24" i="3"/>
  <c r="C10" i="2"/>
  <c r="C16" i="2"/>
  <c r="C17" i="2"/>
  <c r="C16" i="3"/>
  <c r="G21" i="4"/>
  <c r="G29" i="4"/>
  <c r="G30" i="4"/>
  <c r="C21" i="4"/>
  <c r="C29" i="4"/>
  <c r="C30" i="4"/>
  <c r="H29" i="4"/>
  <c r="H30" i="4"/>
  <c r="H21" i="4"/>
  <c r="E29" i="4"/>
  <c r="E30" i="4"/>
  <c r="E21" i="4"/>
  <c r="F29" i="4"/>
  <c r="F30" i="4"/>
  <c r="F21" i="4"/>
  <c r="D29" i="4"/>
  <c r="D30" i="4"/>
  <c r="D21" i="4"/>
  <c r="I29" i="4"/>
  <c r="I30" i="4"/>
  <c r="I21" i="4"/>
  <c r="C22" i="3"/>
  <c r="C18" i="2"/>
  <c r="C21" i="2"/>
  <c r="D19" i="5"/>
  <c r="G18" i="5"/>
  <c r="C17" i="3"/>
  <c r="F19" i="5"/>
  <c r="E19" i="5"/>
  <c r="C12" i="2"/>
  <c r="G20" i="5"/>
  <c r="D18" i="5"/>
  <c r="D20" i="5"/>
  <c r="G19" i="5"/>
  <c r="F21" i="5"/>
  <c r="H20" i="5"/>
  <c r="H21" i="5"/>
  <c r="E21" i="5"/>
  <c r="E18" i="5"/>
  <c r="E22" i="5"/>
  <c r="F22" i="5"/>
  <c r="G22" i="5"/>
  <c r="D22" i="5"/>
  <c r="D21" i="5"/>
  <c r="H18" i="5"/>
  <c r="H22" i="5"/>
  <c r="C25" i="3"/>
  <c r="H19" i="5"/>
  <c r="F18" i="5"/>
  <c r="G21" i="5"/>
  <c r="E20" i="5"/>
  <c r="C11" i="3"/>
  <c r="F20" i="5"/>
  <c r="C20" i="2"/>
  <c r="C19" i="2"/>
</calcChain>
</file>

<file path=xl/sharedStrings.xml><?xml version="1.0" encoding="utf-8"?>
<sst xmlns="http://schemas.openxmlformats.org/spreadsheetml/2006/main" count="230" uniqueCount="192">
  <si>
    <t>IntelliPrivart</t>
  </si>
  <si>
    <t>NEXTUTE EDTECH - CASE B: THE DATA MOAT</t>
  </si>
  <si>
    <t>Base Model Assumptions &amp; Macro Drivers (Finance Club, IIT Patna Case 2026)</t>
  </si>
  <si>
    <t>1. Coaching Institute Baseline Profile</t>
  </si>
  <si>
    <t>Average Student Count per Institute</t>
  </si>
  <si>
    <t>Students</t>
  </si>
  <si>
    <t>Range: 150 to 2,000 students</t>
  </si>
  <si>
    <t>Annual Tuition Fee per Student</t>
  </si>
  <si>
    <t>INR / Year</t>
  </si>
  <si>
    <t>Range: ₹30,000 to ₹1,50,000</t>
  </si>
  <si>
    <t>Academic Billing Months per Year</t>
  </si>
  <si>
    <t>Months</t>
  </si>
  <si>
    <t>April - January core active test cycle</t>
  </si>
  <si>
    <t>Average Monthly Fee per Student</t>
  </si>
  <si>
    <t>INR / Month</t>
  </si>
  <si>
    <t>Calculated over active months</t>
  </si>
  <si>
    <t>Annual Mid-session Dropout Rate</t>
  </si>
  <si>
    <t>% of Batch</t>
  </si>
  <si>
    <t>Industry baseline: 8% to 15%</t>
  </si>
  <si>
    <t>Average Dropout Timing (Month of Session)</t>
  </si>
  <si>
    <t>Month</t>
  </si>
  <si>
    <t>Dropouts peak between Month 3 and 5</t>
  </si>
  <si>
    <t>Uncollected Fees Lost per Dropped Student</t>
  </si>
  <si>
    <t>INR / Student</t>
  </si>
  <si>
    <t>Remaining 6 months unpaid installments</t>
  </si>
  <si>
    <t>2. SaaS Pricing &amp; Packaging (Nextute Intelligence)</t>
  </si>
  <si>
    <t>Tier 1: Essentials (Up to 150 Students)</t>
  </si>
  <si>
    <t>Fixed flat subscription</t>
  </si>
  <si>
    <t>Tier 2: Intelligence Base Fee (Includes 300 Students)</t>
  </si>
  <si>
    <t>Primary target tier</t>
  </si>
  <si>
    <t>Tier 2: Additional Student Variable Fee</t>
  </si>
  <si>
    <t>INR / Student/Month</t>
  </si>
  <si>
    <t>Per student above 300</t>
  </si>
  <si>
    <t>Tier 2: Blended Monthly Fee for 400 Students</t>
  </si>
  <si>
    <t>Base + 100 * ₹30</t>
  </si>
  <si>
    <t>Tier 3: Enterprise Rate (&gt;600 Students)</t>
  </si>
  <si>
    <t>INR / Student / Month</t>
  </si>
  <si>
    <t>Custom volume pricing</t>
  </si>
  <si>
    <t>3. Direct Service &amp; Technology COGS (Per Student/Month)</t>
  </si>
  <si>
    <t>AWS / Multi-tenant Cloud Infrastructure</t>
  </si>
  <si>
    <t>PostgreSQL + compute hosting</t>
  </si>
  <si>
    <t>GenAI Inference (LLM Student/Parent Reports)</t>
  </si>
  <si>
    <t>Batch quantized models + RAG</t>
  </si>
  <si>
    <t>WhatsApp Business Cloud API Messaging</t>
  </si>
  <si>
    <t>~8 notifications/reports @ ₹0.50</t>
  </si>
  <si>
    <t>OMR Vision / OCR Processing</t>
  </si>
  <si>
    <t>Serverless image processing pipeline</t>
  </si>
  <si>
    <t>Total Technology COGS per Student / Month</t>
  </si>
  <si>
    <t>True marginal tech cost</t>
  </si>
  <si>
    <t>4. Sales, Marketing &amp; Onboarding Assumptions</t>
  </si>
  <si>
    <t>Field Sales CAC per Institute</t>
  </si>
  <si>
    <t>INR / Institute</t>
  </si>
  <si>
    <t>Field visits in Patna, Kota, Lucknow</t>
  </si>
  <si>
    <t>Onboarding &amp; Teacher Training Cost</t>
  </si>
  <si>
    <t>Data migration &amp; OCR onboarding</t>
  </si>
  <si>
    <t>Total Customer Acquisition &amp; Setup Cost</t>
  </si>
  <si>
    <t>All-in CAC per acquired institute</t>
  </si>
  <si>
    <t>Average Sales Cycle Duration</t>
  </si>
  <si>
    <t>Weeks</t>
  </si>
  <si>
    <t>Peak window: March - June admissions</t>
  </si>
  <si>
    <t>Annual Institute Logo Churn Rate</t>
  </si>
  <si>
    <t>% / Year</t>
  </si>
  <si>
    <t>Equivalent to ~1.0% blended monthly churn</t>
  </si>
  <si>
    <t>Monthly Effective Logo Churn</t>
  </si>
  <si>
    <t>% / Month</t>
  </si>
  <si>
    <t>Compounded monthly attrition</t>
  </si>
  <si>
    <t>COACHING INSTITUTE ROI CALCULATOR</t>
  </si>
  <si>
    <t>Demonstrating Measurable Financial Payback for Institute Directors</t>
  </si>
  <si>
    <t>Parameter / Metric</t>
  </si>
  <si>
    <t>Value</t>
  </si>
  <si>
    <t>Unit</t>
  </si>
  <si>
    <t>Methodology / Rationale</t>
  </si>
  <si>
    <t>Baseline Student Enrollment</t>
  </si>
  <si>
    <t>Standard mid-sized test-prep institute</t>
  </si>
  <si>
    <t>Annual Fee per Student</t>
  </si>
  <si>
    <t>INR</t>
  </si>
  <si>
    <t>Average fees across 10-month curriculum</t>
  </si>
  <si>
    <t>Total Annual Tuition Billed</t>
  </si>
  <si>
    <t>Gross revenue potential of institute</t>
  </si>
  <si>
    <t>Historical Dropout Rate</t>
  </si>
  <si>
    <t>%</t>
  </si>
  <si>
    <t>Students leaving before session completion</t>
  </si>
  <si>
    <t>Number of Dropped Students</t>
  </si>
  <si>
    <t>Total students lost per academic cycle</t>
  </si>
  <si>
    <t>Uncollected Fees Lost per Dropout</t>
  </si>
  <si>
    <t>Total Annual Fee Leakage</t>
  </si>
  <si>
    <t>Total cash lost to student attrition</t>
  </si>
  <si>
    <t>Nextute Early-Warning Intervention Impact</t>
  </si>
  <si>
    <t>Expected Dropout Prevention Efficiency</t>
  </si>
  <si>
    <t>% Saved</t>
  </si>
  <si>
    <t>Targeted remedial &amp; mentor alerts save 15%</t>
  </si>
  <si>
    <t>Students Retained via Early Warning</t>
  </si>
  <si>
    <t>Net students kept in institute</t>
  </si>
  <si>
    <t>Direct Fee Revenue Recovered</t>
  </si>
  <si>
    <t>Recovered uncollected tuition fees</t>
  </si>
  <si>
    <t>Annual Nextute Platform Cost</t>
  </si>
  <si>
    <t>10 months active Tier 2 billing</t>
  </si>
  <si>
    <t>Net Profit Gain for Coaching Owner</t>
  </si>
  <si>
    <t>Direct bottom-line profit expansion</t>
  </si>
  <si>
    <t>Institute ROI Multiple</t>
  </si>
  <si>
    <t>Multiple</t>
  </si>
  <si>
    <t>Fee Saved divided by Platform Cost</t>
  </si>
  <si>
    <t>Breakeven Threshold (Students to Save)</t>
  </si>
  <si>
    <t>Students needed to save to reach 1.0x ROI</t>
  </si>
  <si>
    <t>NEXTUTE PLATFORM UNIT ECONOMICS (PER INSTITUTE)</t>
  </si>
  <si>
    <t>Deconstructing CAC, Marginal COGS, Payback, and Lifetime Value</t>
  </si>
  <si>
    <t>Unit Metric</t>
  </si>
  <si>
    <t>Value / Formula</t>
  </si>
  <si>
    <t>Benchmark / Comment</t>
  </si>
  <si>
    <t>Monthly Revenue per Institute (MRPA)</t>
  </si>
  <si>
    <t>Tier 2 hybrid plan for 400 students</t>
  </si>
  <si>
    <t>Direct Technology COGS</t>
  </si>
  <si>
    <t>Cloud, GenAI, and WhatsApp Cloud API</t>
  </si>
  <si>
    <t>Customer Success &amp; Support Allocation</t>
  </si>
  <si>
    <t>1 dedicated support rep per 25 institutes</t>
  </si>
  <si>
    <t>Total Monthly Cost to Serve</t>
  </si>
  <si>
    <t>Variable + allocated direct support</t>
  </si>
  <si>
    <t>Monthly Contribution Margin (Gross Profit)</t>
  </si>
  <si>
    <t>Operating gross profit generated</t>
  </si>
  <si>
    <t>Gross Margin %</t>
  </si>
  <si>
    <t>Healthy B2B vertical SaaS gross margin</t>
  </si>
  <si>
    <t>Acquisition Efficiency &amp; Payback</t>
  </si>
  <si>
    <t>Field Sales &amp; Demo CAC</t>
  </si>
  <si>
    <t>Tier 2 city direct sales acquisition cost</t>
  </si>
  <si>
    <t>Institute Setup &amp; Onboarding</t>
  </si>
  <si>
    <t>Data migration &amp; staff training</t>
  </si>
  <si>
    <t>Total Customer Acquisition Cost (CAC)</t>
  </si>
  <si>
    <t>All-in cost to activate new institute</t>
  </si>
  <si>
    <t>CAC Payback Period</t>
  </si>
  <si>
    <t>Recoupment time from contribution margin</t>
  </si>
  <si>
    <t>Lifetime Value &amp; Retention (LTV)</t>
  </si>
  <si>
    <t>Annual Logo Churn Rate</t>
  </si>
  <si>
    <t>Observed annual institute churn</t>
  </si>
  <si>
    <t>Expected Institute Lifespan (Years)</t>
  </si>
  <si>
    <t>Years</t>
  </si>
  <si>
    <t>1 / Annual Churn Rate</t>
  </si>
  <si>
    <t>Expected Institute Lifespan (Months)</t>
  </si>
  <si>
    <t>Months active on Nextute</t>
  </si>
  <si>
    <t>Active Billing Months per Lifespan</t>
  </si>
  <si>
    <t>Excludes summer vacation dormant periods</t>
  </si>
  <si>
    <t>Customer Lifetime Value (LTV)</t>
  </si>
  <si>
    <t>Cumulative contribution margin over life</t>
  </si>
  <si>
    <t>LTV : CAC Ratio</t>
  </si>
  <si>
    <t>Golden standard SaaS benchmark: &gt;= 3.0x</t>
  </si>
  <si>
    <t>NEXTUTE EDTECH - 3-YEAR P&amp;L &amp; CASH FLOW PROJECTION</t>
  </si>
  <si>
    <t>Demonstrating Path to Profitability &amp; Capital Efficiency (in INR Lakhs)</t>
  </si>
  <si>
    <t>P&amp;L Line Item (₹ Lakhs)</t>
  </si>
  <si>
    <t>Year 1 (Q1)</t>
  </si>
  <si>
    <t>Year 1 (Q2)</t>
  </si>
  <si>
    <t>Year 1 (Q3)</t>
  </si>
  <si>
    <t>Year 1 (Q4)</t>
  </si>
  <si>
    <t>Year 1 Total</t>
  </si>
  <si>
    <t>Year 2 Total</t>
  </si>
  <si>
    <t>Year 3 Total</t>
  </si>
  <si>
    <t>Active Institutes (End of Period)</t>
  </si>
  <si>
    <t>Total Students on Platform</t>
  </si>
  <si>
    <t>Revenue Streams</t>
  </si>
  <si>
    <t>Platform SaaS Subscription</t>
  </si>
  <si>
    <t>Parent WhatsApp Report Add-on</t>
  </si>
  <si>
    <t>Gross Revenue</t>
  </si>
  <si>
    <t>Cost of Goods Sold (COGS)</t>
  </si>
  <si>
    <t>Cloud &amp; Compute Infrastructure</t>
  </si>
  <si>
    <t>GenAI Inference &amp; Token Costs</t>
  </si>
  <si>
    <t>WhatsApp Cloud API Delivery</t>
  </si>
  <si>
    <t>Customer Support &amp; Onboarding</t>
  </si>
  <si>
    <t>Total COGS</t>
  </si>
  <si>
    <t>Gross Profit</t>
  </si>
  <si>
    <t>Operating Expenses (OPEX)</t>
  </si>
  <si>
    <t>Sales &amp; Marketing (CAC Field Demos)</t>
  </si>
  <si>
    <t>Engineering, ML &amp; Product R&amp;D</t>
  </si>
  <si>
    <t>General &amp; Administrative (G&amp;A)</t>
  </si>
  <si>
    <t>Total Operating Expenses</t>
  </si>
  <si>
    <t>EBITDA</t>
  </si>
  <si>
    <t>EBITDA Margin %</t>
  </si>
  <si>
    <t>TWO-WAY SENSITIVITY &amp; SCENARIO ANALYSIS</t>
  </si>
  <si>
    <t>Stress-Testing Unit Economics and Institute Value Proposition Against Uncertainties</t>
  </si>
  <si>
    <t>Table 1: Institute ROI Multiple Sensitivity (Fee per Student vs. Dropout Prevention %)</t>
  </si>
  <si>
    <t>Annual Student Tuition Fee</t>
  </si>
  <si>
    <t>5% Dropout Reduction</t>
  </si>
  <si>
    <t>10% Dropout Reduction</t>
  </si>
  <si>
    <t>15% Dropout Reduction</t>
  </si>
  <si>
    <t>20% Dropout Reduction</t>
  </si>
  <si>
    <t>25% Dropout Reduction</t>
  </si>
  <si>
    <t>Key Takeaway: Even at a conservative 10% dropout reduction for a ₹50,000 institute, ROI is 1.03x (breaks even).</t>
  </si>
  <si>
    <t>Table 2: Nextute LTV/CAC Ratio Sensitivity (Annual Churn vs. Blended CAC)</t>
  </si>
  <si>
    <t>Blended Acquisition Cost (CAC)</t>
  </si>
  <si>
    <t>8% Annual Churn</t>
  </si>
  <si>
    <t>10% Annual Churn</t>
  </si>
  <si>
    <t>12% Annual Churn</t>
  </si>
  <si>
    <t>15% Annual Churn</t>
  </si>
  <si>
    <t>20% Annual Churn</t>
  </si>
  <si>
    <t>Key Takeaway: The business model maintains LTV/CAC &gt; 3.0x across all realistic stress scenarios.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</si>
</sst>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"/>
    <numFmt numFmtId="165" formatCode="0.0%"/>
    <numFmt numFmtId="166" formatCode="\₹#,##0.00"/>
    <numFmt numFmtId="167" formatCode="0.00&quot;x&quot;"/>
    <numFmt numFmtId="168" formatCode="0.0"/>
  </numFmts>
  <fonts count="13">
    <font>
      <sz val="11"/>
      <color theme="1"/>
      <name val="Calibri"/>
      <family val="2"/>
      <scheme val="minor"/>
    </font>
    <font>
      <b/>
      <sz val="15"/>
      <color rgb="FF1B365D"/>
      <name val="Calibri"/>
    </font>
    <font>
      <i/>
      <sz val="9"/>
      <color rgb="FF718096"/>
      <name val="Calibri"/>
    </font>
    <font>
      <b/>
      <sz val="11"/>
      <color rgb="FFFFFFFF"/>
      <name val="Calibri"/>
    </font>
    <font>
      <sz val="10"/>
      <color rgb="FF1A202C"/>
      <name val="Calibri"/>
    </font>
    <font>
      <b/>
      <sz val="10"/>
      <color rgb="FF1A202C"/>
      <name val="Calibri"/>
    </font>
    <font>
      <b/>
      <sz val="10"/>
      <color rgb="FFFFFFFF"/>
      <name val="Calibri"/>
    </font>
    <font>
      <b/>
      <sz val="10"/>
      <color rgb="FF22543D"/>
      <name val="Calibri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0"/>
      <color rgb="FF1A202C"/>
      <name val="Calibri"/>
      <family val="2"/>
    </font>
    <font>
      <b/>
      <sz val="14"/>
      <color rgb="FFFFFFFF"/>
      <name val="Calibri"/>
      <family val="2"/>
    </font>
    <font>
      <b/>
      <sz val="14"/>
      <color rgb="FF1F497D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6CB0"/>
        <bgColor rgb="FF2B6CB0"/>
      </patternFill>
    </fill>
    <fill>
      <patternFill patternType="solid">
        <fgColor rgb="FFC6F6D5"/>
        <bgColor rgb="FFC6F6D5"/>
      </patternFill>
    </fill>
    <fill>
      <patternFill patternType="solid">
        <fgColor theme="3"/>
        <bgColor rgb="FF1B365D"/>
      </patternFill>
    </fill>
  </fills>
  <borders count="5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double">
        <color rgb="FF1A202C"/>
      </bottom>
      <diagonal/>
    </border>
    <border>
      <left/>
      <right/>
      <top/>
      <bottom style="thin">
        <color rgb="FFCBD5E0"/>
      </bottom>
      <diagonal/>
    </border>
    <border>
      <left/>
      <right/>
      <top style="thin">
        <color rgb="FFCBD5E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/>
    <xf numFmtId="3" fontId="5" fillId="0" borderId="1" xfId="0" applyNumberFormat="1" applyFont="1" applyBorder="1"/>
    <xf numFmtId="0" fontId="2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0" fontId="6" fillId="2" borderId="0" xfId="0" applyFont="1" applyFill="1" applyAlignment="1">
      <alignment horizontal="center"/>
    </xf>
    <xf numFmtId="0" fontId="5" fillId="0" borderId="1" xfId="0" applyFont="1" applyBorder="1"/>
    <xf numFmtId="167" fontId="7" fillId="4" borderId="1" xfId="0" applyNumberFormat="1" applyFont="1" applyFill="1" applyBorder="1"/>
    <xf numFmtId="2" fontId="5" fillId="0" borderId="1" xfId="0" applyNumberFormat="1" applyFont="1" applyBorder="1"/>
    <xf numFmtId="168" fontId="5" fillId="0" borderId="1" xfId="0" applyNumberFormat="1" applyFont="1" applyBorder="1"/>
    <xf numFmtId="0" fontId="5" fillId="0" borderId="0" xfId="0" applyFont="1"/>
    <xf numFmtId="164" fontId="6" fillId="3" borderId="0" xfId="0" applyNumberFormat="1" applyFont="1" applyFill="1" applyAlignment="1">
      <alignment horizontal="center"/>
    </xf>
    <xf numFmtId="0" fontId="10" fillId="0" borderId="1" xfId="0" applyFont="1" applyBorder="1"/>
    <xf numFmtId="0" fontId="9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165" fontId="4" fillId="0" borderId="0" xfId="0" applyNumberFormat="1" applyFont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3" borderId="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/>
    <xf numFmtId="0" fontId="0" fillId="0" borderId="0" xfId="0" applyAlignme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5"/>
  <sheetViews>
    <sheetView tabSelected="1" workbookViewId="0">
      <selection activeCell="B1" sqref="B1:E1"/>
    </sheetView>
  </sheetViews>
  <sheetFormatPr defaultRowHeight="15"/>
  <cols>
    <col min="1" max="1" width="14" customWidth="1"/>
    <col min="2" max="2" width="40" customWidth="1"/>
    <col min="3" max="3" width="27" customWidth="1"/>
    <col min="4" max="4" width="21" customWidth="1"/>
    <col min="5" max="5" width="44" customWidth="1"/>
  </cols>
  <sheetData>
    <row r="1" spans="2:7" ht="18.75">
      <c r="B1" s="33" t="s">
        <v>0</v>
      </c>
      <c r="C1" s="33"/>
      <c r="D1" s="33"/>
      <c r="E1" s="33"/>
      <c r="F1" s="18"/>
      <c r="G1" s="18"/>
    </row>
    <row r="2" spans="2:7" ht="19.5">
      <c r="B2" s="34" t="s">
        <v>1</v>
      </c>
      <c r="C2" s="34"/>
      <c r="D2" s="34"/>
      <c r="E2" s="34"/>
      <c r="F2" s="18"/>
      <c r="G2" s="18"/>
    </row>
    <row r="3" spans="2:7">
      <c r="B3" s="35" t="s">
        <v>2</v>
      </c>
      <c r="C3" s="35"/>
      <c r="D3" s="35"/>
      <c r="E3" s="35"/>
      <c r="F3" s="18"/>
      <c r="G3" s="18"/>
    </row>
    <row r="5" spans="2:7">
      <c r="B5" s="27" t="s">
        <v>3</v>
      </c>
      <c r="C5" s="27"/>
      <c r="D5" s="27"/>
      <c r="E5" s="27"/>
      <c r="F5" s="18"/>
      <c r="G5" s="19"/>
    </row>
    <row r="6" spans="2:7">
      <c r="B6" s="28"/>
      <c r="C6" s="28"/>
      <c r="D6" s="28"/>
      <c r="E6" s="28"/>
      <c r="F6" s="18"/>
      <c r="G6" s="18"/>
    </row>
    <row r="7" spans="2:7">
      <c r="B7" s="3" t="s">
        <v>4</v>
      </c>
      <c r="C7" s="4">
        <v>400</v>
      </c>
      <c r="D7" s="3" t="s">
        <v>5</v>
      </c>
      <c r="E7" s="5" t="s">
        <v>6</v>
      </c>
      <c r="F7" s="18"/>
      <c r="G7" s="18"/>
    </row>
    <row r="8" spans="2:7">
      <c r="B8" s="3" t="s">
        <v>7</v>
      </c>
      <c r="C8" s="6">
        <v>60000</v>
      </c>
      <c r="D8" s="3" t="s">
        <v>8</v>
      </c>
      <c r="E8" s="5" t="s">
        <v>9</v>
      </c>
      <c r="F8" s="18"/>
      <c r="G8" s="18"/>
    </row>
    <row r="9" spans="2:7">
      <c r="B9" s="3" t="s">
        <v>10</v>
      </c>
      <c r="C9" s="4">
        <v>10</v>
      </c>
      <c r="D9" s="3" t="s">
        <v>11</v>
      </c>
      <c r="E9" s="5" t="s">
        <v>12</v>
      </c>
      <c r="F9" s="18"/>
      <c r="G9" s="18"/>
    </row>
    <row r="10" spans="2:7">
      <c r="B10" s="3" t="s">
        <v>13</v>
      </c>
      <c r="C10" s="6">
        <f>C8/C9</f>
        <v>6000</v>
      </c>
      <c r="D10" s="3" t="s">
        <v>14</v>
      </c>
      <c r="E10" s="5" t="s">
        <v>15</v>
      </c>
      <c r="F10" s="18"/>
      <c r="G10" s="18"/>
    </row>
    <row r="11" spans="2:7">
      <c r="B11" s="3" t="s">
        <v>16</v>
      </c>
      <c r="C11" s="7">
        <v>0.12</v>
      </c>
      <c r="D11" s="3" t="s">
        <v>17</v>
      </c>
      <c r="E11" s="5" t="s">
        <v>18</v>
      </c>
      <c r="F11" s="18"/>
      <c r="G11" s="18"/>
    </row>
    <row r="12" spans="2:7">
      <c r="B12" s="3" t="s">
        <v>19</v>
      </c>
      <c r="C12" s="4">
        <v>4</v>
      </c>
      <c r="D12" s="3" t="s">
        <v>20</v>
      </c>
      <c r="E12" s="5" t="s">
        <v>21</v>
      </c>
      <c r="F12" s="18"/>
      <c r="G12" s="18"/>
    </row>
    <row r="13" spans="2:7">
      <c r="B13" s="3" t="s">
        <v>22</v>
      </c>
      <c r="C13" s="6">
        <f>C10*(C9-C12)</f>
        <v>36000</v>
      </c>
      <c r="D13" s="3" t="s">
        <v>23</v>
      </c>
      <c r="E13" s="5" t="s">
        <v>24</v>
      </c>
      <c r="F13" s="18"/>
      <c r="G13" s="18"/>
    </row>
    <row r="14" spans="2:7">
      <c r="B14" s="29" t="s">
        <v>25</v>
      </c>
      <c r="C14" s="29"/>
      <c r="D14" s="29"/>
      <c r="E14" s="29"/>
      <c r="F14" s="18"/>
      <c r="G14" s="18"/>
    </row>
    <row r="15" spans="2:7">
      <c r="B15" s="30"/>
      <c r="C15" s="30"/>
      <c r="D15" s="30"/>
      <c r="E15" s="30"/>
      <c r="F15" s="18"/>
      <c r="G15" s="18"/>
    </row>
    <row r="16" spans="2:7">
      <c r="B16" s="3" t="s">
        <v>26</v>
      </c>
      <c r="C16" s="6">
        <v>5999</v>
      </c>
      <c r="D16" s="3" t="s">
        <v>14</v>
      </c>
      <c r="E16" s="5" t="s">
        <v>27</v>
      </c>
      <c r="F16" s="18"/>
      <c r="G16" s="18"/>
    </row>
    <row r="17" spans="2:5">
      <c r="B17" s="3" t="s">
        <v>28</v>
      </c>
      <c r="C17" s="6">
        <v>9999</v>
      </c>
      <c r="D17" s="3" t="s">
        <v>14</v>
      </c>
      <c r="E17" s="5" t="s">
        <v>29</v>
      </c>
    </row>
    <row r="18" spans="2:5">
      <c r="B18" s="3" t="s">
        <v>30</v>
      </c>
      <c r="C18" s="6">
        <v>30</v>
      </c>
      <c r="D18" s="3" t="s">
        <v>31</v>
      </c>
      <c r="E18" s="5" t="s">
        <v>32</v>
      </c>
    </row>
    <row r="19" spans="2:5">
      <c r="B19" s="3" t="s">
        <v>33</v>
      </c>
      <c r="C19" s="6">
        <f>C17+(400-300)*C18</f>
        <v>12999</v>
      </c>
      <c r="D19" s="3" t="s">
        <v>14</v>
      </c>
      <c r="E19" s="5" t="s">
        <v>34</v>
      </c>
    </row>
    <row r="20" spans="2:5">
      <c r="B20" s="3" t="s">
        <v>35</v>
      </c>
      <c r="C20" s="6">
        <v>28</v>
      </c>
      <c r="D20" s="3" t="s">
        <v>36</v>
      </c>
      <c r="E20" s="5" t="s">
        <v>37</v>
      </c>
    </row>
    <row r="21" spans="2:5">
      <c r="B21" s="31" t="s">
        <v>38</v>
      </c>
      <c r="C21" s="31"/>
      <c r="D21" s="31"/>
      <c r="E21" s="31"/>
    </row>
    <row r="22" spans="2:5">
      <c r="B22" s="32"/>
      <c r="C22" s="32"/>
      <c r="D22" s="32"/>
      <c r="E22" s="32"/>
    </row>
    <row r="23" spans="2:5">
      <c r="B23" s="3" t="s">
        <v>39</v>
      </c>
      <c r="C23" s="8">
        <v>2</v>
      </c>
      <c r="D23" s="3" t="s">
        <v>36</v>
      </c>
      <c r="E23" s="5" t="s">
        <v>40</v>
      </c>
    </row>
    <row r="24" spans="2:5">
      <c r="B24" s="3" t="s">
        <v>41</v>
      </c>
      <c r="C24" s="8">
        <v>2.5</v>
      </c>
      <c r="D24" s="3" t="s">
        <v>36</v>
      </c>
      <c r="E24" s="5" t="s">
        <v>42</v>
      </c>
    </row>
    <row r="25" spans="2:5">
      <c r="B25" s="3" t="s">
        <v>43</v>
      </c>
      <c r="C25" s="8">
        <v>4</v>
      </c>
      <c r="D25" s="3" t="s">
        <v>36</v>
      </c>
      <c r="E25" s="5" t="s">
        <v>44</v>
      </c>
    </row>
    <row r="26" spans="2:5">
      <c r="B26" s="3" t="s">
        <v>45</v>
      </c>
      <c r="C26" s="8">
        <v>0.5</v>
      </c>
      <c r="D26" s="3" t="s">
        <v>36</v>
      </c>
      <c r="E26" s="5" t="s">
        <v>46</v>
      </c>
    </row>
    <row r="27" spans="2:5">
      <c r="B27" s="3" t="s">
        <v>47</v>
      </c>
      <c r="C27" s="8">
        <f>SUM(C23:C26)</f>
        <v>9</v>
      </c>
      <c r="D27" s="3" t="s">
        <v>36</v>
      </c>
      <c r="E27" s="5" t="s">
        <v>48</v>
      </c>
    </row>
    <row r="28" spans="2:5">
      <c r="B28" s="31" t="s">
        <v>49</v>
      </c>
      <c r="C28" s="31"/>
      <c r="D28" s="31"/>
      <c r="E28" s="31"/>
    </row>
    <row r="29" spans="2:5">
      <c r="B29" s="32"/>
      <c r="C29" s="32"/>
      <c r="D29" s="32"/>
      <c r="E29" s="32"/>
    </row>
    <row r="30" spans="2:5">
      <c r="B30" s="3" t="s">
        <v>50</v>
      </c>
      <c r="C30" s="6">
        <v>24000</v>
      </c>
      <c r="D30" s="3" t="s">
        <v>51</v>
      </c>
      <c r="E30" s="5" t="s">
        <v>52</v>
      </c>
    </row>
    <row r="31" spans="2:5">
      <c r="B31" s="3" t="s">
        <v>53</v>
      </c>
      <c r="C31" s="6">
        <v>6000</v>
      </c>
      <c r="D31" s="3" t="s">
        <v>51</v>
      </c>
      <c r="E31" s="5" t="s">
        <v>54</v>
      </c>
    </row>
    <row r="32" spans="2:5">
      <c r="B32" s="3" t="s">
        <v>55</v>
      </c>
      <c r="C32" s="6">
        <f>C30+C31</f>
        <v>30000</v>
      </c>
      <c r="D32" s="3" t="s">
        <v>51</v>
      </c>
      <c r="E32" s="5" t="s">
        <v>56</v>
      </c>
    </row>
    <row r="33" spans="2:5">
      <c r="B33" s="3" t="s">
        <v>57</v>
      </c>
      <c r="C33" s="4">
        <v>4</v>
      </c>
      <c r="D33" s="3" t="s">
        <v>58</v>
      </c>
      <c r="E33" s="5" t="s">
        <v>59</v>
      </c>
    </row>
    <row r="34" spans="2:5">
      <c r="B34" s="3" t="s">
        <v>60</v>
      </c>
      <c r="C34" s="7">
        <v>0.12</v>
      </c>
      <c r="D34" s="3" t="s">
        <v>61</v>
      </c>
      <c r="E34" s="5" t="s">
        <v>62</v>
      </c>
    </row>
    <row r="35" spans="2:5">
      <c r="B35" s="3" t="s">
        <v>63</v>
      </c>
      <c r="C35" s="7">
        <f>1-(1-C34)^(1/12)</f>
        <v>1.0596241035318976E-2</v>
      </c>
      <c r="D35" s="3" t="s">
        <v>64</v>
      </c>
      <c r="E35" s="5" t="s">
        <v>65</v>
      </c>
    </row>
  </sheetData>
  <mergeCells count="7">
    <mergeCell ref="B5:E6"/>
    <mergeCell ref="B14:E15"/>
    <mergeCell ref="B21:E22"/>
    <mergeCell ref="B28:E29"/>
    <mergeCell ref="B1:E1"/>
    <mergeCell ref="B2:E2"/>
    <mergeCell ref="B3:E3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1"/>
  <sheetViews>
    <sheetView topLeftCell="A9" workbookViewId="0">
      <selection activeCell="E9" sqref="E9"/>
    </sheetView>
  </sheetViews>
  <sheetFormatPr defaultRowHeight="15"/>
  <cols>
    <col min="1" max="1" width="14" customWidth="1"/>
    <col min="2" max="2" width="40" customWidth="1"/>
    <col min="3" max="3" width="64" customWidth="1"/>
    <col min="4" max="4" width="14" customWidth="1"/>
    <col min="5" max="5" width="45" customWidth="1"/>
  </cols>
  <sheetData>
    <row r="2" spans="2:5" ht="19.5">
      <c r="B2" s="1" t="s">
        <v>66</v>
      </c>
      <c r="C2" s="18"/>
      <c r="D2" s="18"/>
      <c r="E2" s="18"/>
    </row>
    <row r="3" spans="2:5">
      <c r="B3" s="2" t="s">
        <v>67</v>
      </c>
      <c r="C3" s="18"/>
      <c r="D3" s="18"/>
      <c r="E3" s="18"/>
    </row>
    <row r="5" spans="2:5">
      <c r="B5" s="17" t="s">
        <v>68</v>
      </c>
      <c r="C5" s="17" t="s">
        <v>69</v>
      </c>
      <c r="D5" s="17" t="s">
        <v>70</v>
      </c>
      <c r="E5" s="17" t="s">
        <v>71</v>
      </c>
    </row>
    <row r="6" spans="2:5">
      <c r="B6" s="3" t="s">
        <v>72</v>
      </c>
      <c r="C6" s="4">
        <f>'Assumptions &amp; Drivers'!C7</f>
        <v>400</v>
      </c>
      <c r="D6" s="3" t="s">
        <v>5</v>
      </c>
      <c r="E6" s="5" t="s">
        <v>73</v>
      </c>
    </row>
    <row r="7" spans="2:5">
      <c r="B7" s="3" t="s">
        <v>74</v>
      </c>
      <c r="C7" s="6">
        <f>'Assumptions &amp; Drivers'!C8</f>
        <v>60000</v>
      </c>
      <c r="D7" s="3" t="s">
        <v>75</v>
      </c>
      <c r="E7" s="5" t="s">
        <v>76</v>
      </c>
    </row>
    <row r="8" spans="2:5">
      <c r="B8" s="3" t="s">
        <v>77</v>
      </c>
      <c r="C8" s="6">
        <f>C6*C7</f>
        <v>24000000</v>
      </c>
      <c r="D8" s="3" t="s">
        <v>75</v>
      </c>
      <c r="E8" s="5" t="s">
        <v>78</v>
      </c>
    </row>
    <row r="9" spans="2:5">
      <c r="B9" s="3" t="s">
        <v>79</v>
      </c>
      <c r="C9" s="7">
        <f>'Assumptions &amp; Drivers'!C11</f>
        <v>0.12</v>
      </c>
      <c r="D9" s="3" t="s">
        <v>80</v>
      </c>
      <c r="E9" s="5" t="s">
        <v>81</v>
      </c>
    </row>
    <row r="10" spans="2:5">
      <c r="B10" s="3" t="s">
        <v>82</v>
      </c>
      <c r="C10" s="4">
        <f>C6*C9</f>
        <v>48</v>
      </c>
      <c r="D10" s="3" t="s">
        <v>5</v>
      </c>
      <c r="E10" s="5" t="s">
        <v>83</v>
      </c>
    </row>
    <row r="11" spans="2:5">
      <c r="B11" s="3" t="s">
        <v>84</v>
      </c>
      <c r="C11" s="6">
        <f>'Assumptions &amp; Drivers'!C13</f>
        <v>36000</v>
      </c>
      <c r="D11" s="3" t="s">
        <v>75</v>
      </c>
      <c r="E11" s="5" t="s">
        <v>24</v>
      </c>
    </row>
    <row r="12" spans="2:5">
      <c r="B12" s="3" t="s">
        <v>85</v>
      </c>
      <c r="C12" s="6">
        <f>C10*C11</f>
        <v>1728000</v>
      </c>
      <c r="D12" s="3" t="s">
        <v>75</v>
      </c>
      <c r="E12" s="5" t="s">
        <v>86</v>
      </c>
    </row>
    <row r="13" spans="2:5">
      <c r="B13" s="36" t="s">
        <v>87</v>
      </c>
      <c r="C13" s="36"/>
      <c r="D13" s="36"/>
      <c r="E13" s="36"/>
    </row>
    <row r="14" spans="2:5">
      <c r="B14" s="37"/>
      <c r="C14" s="37"/>
      <c r="D14" s="37"/>
      <c r="E14" s="37"/>
    </row>
    <row r="15" spans="2:5">
      <c r="B15" s="16" t="s">
        <v>88</v>
      </c>
      <c r="C15" s="7">
        <v>0.15</v>
      </c>
      <c r="D15" s="3" t="s">
        <v>89</v>
      </c>
      <c r="E15" s="5" t="s">
        <v>90</v>
      </c>
    </row>
    <row r="16" spans="2:5">
      <c r="B16" s="3" t="s">
        <v>91</v>
      </c>
      <c r="C16" s="4">
        <f>ROUND(C10*C15, 0)</f>
        <v>7</v>
      </c>
      <c r="D16" s="3" t="s">
        <v>5</v>
      </c>
      <c r="E16" s="5" t="s">
        <v>92</v>
      </c>
    </row>
    <row r="17" spans="2:5">
      <c r="B17" s="3" t="s">
        <v>93</v>
      </c>
      <c r="C17" s="6">
        <f>C16*C11</f>
        <v>252000</v>
      </c>
      <c r="D17" s="3" t="s">
        <v>75</v>
      </c>
      <c r="E17" s="5" t="s">
        <v>94</v>
      </c>
    </row>
    <row r="18" spans="2:5">
      <c r="B18" s="3" t="s">
        <v>95</v>
      </c>
      <c r="C18" s="6">
        <f>'Assumptions &amp; Drivers'!C19*'Assumptions &amp; Drivers'!C9</f>
        <v>129990</v>
      </c>
      <c r="D18" s="3" t="s">
        <v>75</v>
      </c>
      <c r="E18" s="5" t="s">
        <v>96</v>
      </c>
    </row>
    <row r="19" spans="2:5">
      <c r="B19" s="3" t="s">
        <v>97</v>
      </c>
      <c r="C19" s="6">
        <f>C17-C18</f>
        <v>122010</v>
      </c>
      <c r="D19" s="3" t="s">
        <v>75</v>
      </c>
      <c r="E19" s="5" t="s">
        <v>98</v>
      </c>
    </row>
    <row r="20" spans="2:5">
      <c r="B20" s="10" t="s">
        <v>99</v>
      </c>
      <c r="C20" s="11">
        <f>C17/C18</f>
        <v>1.938610662358643</v>
      </c>
      <c r="D20" s="3" t="s">
        <v>100</v>
      </c>
      <c r="E20" s="5" t="s">
        <v>101</v>
      </c>
    </row>
    <row r="21" spans="2:5">
      <c r="B21" s="16" t="s">
        <v>102</v>
      </c>
      <c r="C21" s="12">
        <f>C18/C11</f>
        <v>3.6108333333333333</v>
      </c>
      <c r="D21" s="3" t="s">
        <v>5</v>
      </c>
      <c r="E21" s="5" t="s">
        <v>103</v>
      </c>
    </row>
  </sheetData>
  <mergeCells count="1">
    <mergeCell ref="B13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5"/>
  <sheetViews>
    <sheetView topLeftCell="A6" workbookViewId="0">
      <selection activeCell="G6" sqref="G6"/>
    </sheetView>
  </sheetViews>
  <sheetFormatPr defaultRowHeight="15"/>
  <cols>
    <col min="1" max="1" width="14" customWidth="1"/>
    <col min="2" max="2" width="40" customWidth="1"/>
    <col min="3" max="3" width="34.140625" customWidth="1"/>
    <col min="4" max="4" width="14" customWidth="1"/>
    <col min="5" max="5" width="44" customWidth="1"/>
  </cols>
  <sheetData>
    <row r="2" spans="2:5" ht="19.5">
      <c r="B2" s="34" t="s">
        <v>104</v>
      </c>
      <c r="C2" s="34"/>
      <c r="D2" s="34"/>
      <c r="E2" s="34"/>
    </row>
    <row r="3" spans="2:5">
      <c r="B3" s="35" t="s">
        <v>105</v>
      </c>
      <c r="C3" s="35"/>
      <c r="D3" s="35"/>
      <c r="E3" s="35"/>
    </row>
    <row r="5" spans="2:5">
      <c r="B5" s="9" t="s">
        <v>106</v>
      </c>
      <c r="C5" s="9" t="s">
        <v>107</v>
      </c>
      <c r="D5" s="9" t="s">
        <v>70</v>
      </c>
      <c r="E5" s="9" t="s">
        <v>108</v>
      </c>
    </row>
    <row r="6" spans="2:5">
      <c r="B6" s="3" t="s">
        <v>109</v>
      </c>
      <c r="C6" s="6">
        <f>'Assumptions &amp; Drivers'!C19</f>
        <v>12999</v>
      </c>
      <c r="D6" s="3" t="s">
        <v>75</v>
      </c>
      <c r="E6" s="5" t="s">
        <v>110</v>
      </c>
    </row>
    <row r="7" spans="2:5">
      <c r="B7" s="3" t="s">
        <v>111</v>
      </c>
      <c r="C7" s="6">
        <f>'Assumptions &amp; Drivers'!C27*'Assumptions &amp; Drivers'!C7</f>
        <v>3600</v>
      </c>
      <c r="D7" s="3" t="s">
        <v>75</v>
      </c>
      <c r="E7" s="5" t="s">
        <v>112</v>
      </c>
    </row>
    <row r="8" spans="2:5">
      <c r="B8" s="3" t="s">
        <v>113</v>
      </c>
      <c r="C8" s="6">
        <v>1800</v>
      </c>
      <c r="D8" s="3" t="s">
        <v>75</v>
      </c>
      <c r="E8" s="5" t="s">
        <v>114</v>
      </c>
    </row>
    <row r="9" spans="2:5">
      <c r="B9" s="3" t="s">
        <v>115</v>
      </c>
      <c r="C9" s="6">
        <f>C7+C8</f>
        <v>5400</v>
      </c>
      <c r="D9" s="3" t="s">
        <v>75</v>
      </c>
      <c r="E9" s="5" t="s">
        <v>116</v>
      </c>
    </row>
    <row r="10" spans="2:5">
      <c r="B10" s="3" t="s">
        <v>117</v>
      </c>
      <c r="C10" s="6">
        <f>C6-C9</f>
        <v>7599</v>
      </c>
      <c r="D10" s="3" t="s">
        <v>75</v>
      </c>
      <c r="E10" s="5" t="s">
        <v>118</v>
      </c>
    </row>
    <row r="11" spans="2:5">
      <c r="B11" s="3" t="s">
        <v>119</v>
      </c>
      <c r="C11" s="7">
        <f>C10/C6</f>
        <v>0.58458342949457653</v>
      </c>
      <c r="D11" s="3" t="s">
        <v>80</v>
      </c>
      <c r="E11" s="5" t="s">
        <v>120</v>
      </c>
    </row>
    <row r="12" spans="2:5">
      <c r="B12" s="38" t="s">
        <v>121</v>
      </c>
      <c r="C12" s="38"/>
      <c r="D12" s="38"/>
      <c r="E12" s="38"/>
    </row>
    <row r="13" spans="2:5">
      <c r="B13" s="39"/>
      <c r="C13" s="39"/>
      <c r="D13" s="39"/>
      <c r="E13" s="39"/>
    </row>
    <row r="14" spans="2:5">
      <c r="B14" s="3" t="s">
        <v>122</v>
      </c>
      <c r="C14" s="6">
        <f>'Assumptions &amp; Drivers'!C30</f>
        <v>24000</v>
      </c>
      <c r="D14" s="3" t="s">
        <v>75</v>
      </c>
      <c r="E14" s="5" t="s">
        <v>123</v>
      </c>
    </row>
    <row r="15" spans="2:5">
      <c r="B15" s="3" t="s">
        <v>124</v>
      </c>
      <c r="C15" s="6">
        <f>'Assumptions &amp; Drivers'!C31</f>
        <v>6000</v>
      </c>
      <c r="D15" s="3" t="s">
        <v>75</v>
      </c>
      <c r="E15" s="5" t="s">
        <v>125</v>
      </c>
    </row>
    <row r="16" spans="2:5">
      <c r="B16" s="3" t="s">
        <v>126</v>
      </c>
      <c r="C16" s="6">
        <f>C14+C15</f>
        <v>30000</v>
      </c>
      <c r="D16" s="3" t="s">
        <v>75</v>
      </c>
      <c r="E16" s="5" t="s">
        <v>127</v>
      </c>
    </row>
    <row r="17" spans="2:5">
      <c r="B17" s="3" t="s">
        <v>128</v>
      </c>
      <c r="C17" s="13">
        <f>C16/C10</f>
        <v>3.9478878799842083</v>
      </c>
      <c r="D17" s="3" t="s">
        <v>11</v>
      </c>
      <c r="E17" s="5" t="s">
        <v>129</v>
      </c>
    </row>
    <row r="18" spans="2:5">
      <c r="B18" s="38" t="s">
        <v>130</v>
      </c>
      <c r="C18" s="38"/>
      <c r="D18" s="38"/>
      <c r="E18" s="38"/>
    </row>
    <row r="19" spans="2:5">
      <c r="B19" s="39"/>
      <c r="C19" s="39"/>
      <c r="D19" s="39"/>
      <c r="E19" s="39"/>
    </row>
    <row r="20" spans="2:5">
      <c r="B20" s="3" t="s">
        <v>131</v>
      </c>
      <c r="C20" s="7">
        <f>'Assumptions &amp; Drivers'!C34</f>
        <v>0.12</v>
      </c>
      <c r="D20" s="3" t="s">
        <v>80</v>
      </c>
      <c r="E20" s="5" t="s">
        <v>132</v>
      </c>
    </row>
    <row r="21" spans="2:5">
      <c r="B21" s="3" t="s">
        <v>133</v>
      </c>
      <c r="C21" s="13">
        <f>1/C20</f>
        <v>8.3333333333333339</v>
      </c>
      <c r="D21" s="3" t="s">
        <v>134</v>
      </c>
      <c r="E21" s="5" t="s">
        <v>135</v>
      </c>
    </row>
    <row r="22" spans="2:5">
      <c r="B22" s="3" t="s">
        <v>136</v>
      </c>
      <c r="C22" s="13">
        <f>C21*12</f>
        <v>100</v>
      </c>
      <c r="D22" s="3" t="s">
        <v>11</v>
      </c>
      <c r="E22" s="5" t="s">
        <v>137</v>
      </c>
    </row>
    <row r="23" spans="2:5">
      <c r="B23" s="3" t="s">
        <v>138</v>
      </c>
      <c r="C23" s="13">
        <f>C21*'Assumptions &amp; Drivers'!C9</f>
        <v>83.333333333333343</v>
      </c>
      <c r="D23" s="3" t="s">
        <v>11</v>
      </c>
      <c r="E23" s="5" t="s">
        <v>139</v>
      </c>
    </row>
    <row r="24" spans="2:5">
      <c r="B24" s="3" t="s">
        <v>140</v>
      </c>
      <c r="C24" s="6">
        <f>C23*C10</f>
        <v>633250.00000000012</v>
      </c>
      <c r="D24" s="3" t="s">
        <v>75</v>
      </c>
      <c r="E24" s="5" t="s">
        <v>141</v>
      </c>
    </row>
    <row r="25" spans="2:5">
      <c r="B25" s="10" t="s">
        <v>142</v>
      </c>
      <c r="C25" s="11">
        <f>C24/C16</f>
        <v>21.108333333333338</v>
      </c>
      <c r="D25" s="3" t="s">
        <v>100</v>
      </c>
      <c r="E25" s="5" t="s">
        <v>143</v>
      </c>
    </row>
  </sheetData>
  <mergeCells count="4">
    <mergeCell ref="B12:E13"/>
    <mergeCell ref="B18:E19"/>
    <mergeCell ref="B2:E2"/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0"/>
  <sheetViews>
    <sheetView topLeftCell="A13" workbookViewId="0">
      <selection activeCell="F33" sqref="F33"/>
    </sheetView>
  </sheetViews>
  <sheetFormatPr defaultRowHeight="15"/>
  <cols>
    <col min="1" max="1" width="14" customWidth="1"/>
    <col min="2" max="2" width="40" customWidth="1"/>
    <col min="3" max="9" width="22" customWidth="1"/>
  </cols>
  <sheetData>
    <row r="2" spans="2:9" ht="19.5">
      <c r="B2" s="1" t="s">
        <v>144</v>
      </c>
      <c r="C2" s="18"/>
      <c r="D2" s="18"/>
      <c r="E2" s="18"/>
      <c r="F2" s="18"/>
      <c r="G2" s="18"/>
      <c r="H2" s="18"/>
      <c r="I2" s="18"/>
    </row>
    <row r="3" spans="2:9">
      <c r="B3" s="2" t="s">
        <v>145</v>
      </c>
      <c r="C3" s="18"/>
      <c r="D3" s="18"/>
      <c r="E3" s="18"/>
      <c r="F3" s="18"/>
      <c r="G3" s="18"/>
      <c r="H3" s="18"/>
      <c r="I3" s="18"/>
    </row>
    <row r="5" spans="2:9">
      <c r="B5" s="9" t="s">
        <v>146</v>
      </c>
      <c r="C5" s="9" t="s">
        <v>147</v>
      </c>
      <c r="D5" s="9" t="s">
        <v>148</v>
      </c>
      <c r="E5" s="9" t="s">
        <v>149</v>
      </c>
      <c r="F5" s="9" t="s">
        <v>150</v>
      </c>
      <c r="G5" s="9" t="s">
        <v>151</v>
      </c>
      <c r="H5" s="9" t="s">
        <v>152</v>
      </c>
      <c r="I5" s="9" t="s">
        <v>153</v>
      </c>
    </row>
    <row r="6" spans="2:9">
      <c r="B6" s="3" t="s">
        <v>154</v>
      </c>
      <c r="C6" s="22">
        <v>10</v>
      </c>
      <c r="D6" s="22">
        <v>20</v>
      </c>
      <c r="E6" s="22">
        <v>35</v>
      </c>
      <c r="F6" s="22">
        <v>50</v>
      </c>
      <c r="G6" s="22">
        <f>F6</f>
        <v>50</v>
      </c>
      <c r="H6" s="22">
        <v>180</v>
      </c>
      <c r="I6" s="22">
        <v>520</v>
      </c>
    </row>
    <row r="7" spans="2:9">
      <c r="B7" s="3" t="s">
        <v>155</v>
      </c>
      <c r="C7" s="22">
        <v>4000</v>
      </c>
      <c r="D7" s="22">
        <v>8000</v>
      </c>
      <c r="E7" s="22">
        <v>14000</v>
      </c>
      <c r="F7" s="22">
        <v>20000</v>
      </c>
      <c r="G7" s="22">
        <f>F7</f>
        <v>20000</v>
      </c>
      <c r="H7" s="22">
        <v>72000</v>
      </c>
      <c r="I7" s="22">
        <v>208000</v>
      </c>
    </row>
    <row r="8" spans="2:9">
      <c r="B8" s="38" t="s">
        <v>156</v>
      </c>
      <c r="C8" s="38"/>
      <c r="D8" s="38"/>
      <c r="E8" s="38"/>
      <c r="F8" s="38"/>
      <c r="G8" s="38"/>
      <c r="H8" s="38"/>
      <c r="I8" s="38"/>
    </row>
    <row r="9" spans="2:9">
      <c r="B9" s="39"/>
      <c r="C9" s="39"/>
      <c r="D9" s="39"/>
      <c r="E9" s="39"/>
      <c r="F9" s="39"/>
      <c r="G9" s="39"/>
      <c r="H9" s="39"/>
      <c r="I9" s="39"/>
    </row>
    <row r="10" spans="2:9">
      <c r="B10" s="3" t="s">
        <v>157</v>
      </c>
      <c r="C10" s="23">
        <v>3.9</v>
      </c>
      <c r="D10" s="23">
        <v>7.8</v>
      </c>
      <c r="E10" s="23">
        <v>13.65</v>
      </c>
      <c r="F10" s="23">
        <v>19.5</v>
      </c>
      <c r="G10" s="23">
        <f>SUM(C10:F10)</f>
        <v>44.85</v>
      </c>
      <c r="H10" s="23">
        <v>187.2</v>
      </c>
      <c r="I10" s="23">
        <v>594.88</v>
      </c>
    </row>
    <row r="11" spans="2:9">
      <c r="B11" s="3" t="s">
        <v>158</v>
      </c>
      <c r="C11" s="23">
        <v>0.6</v>
      </c>
      <c r="D11" s="23">
        <v>1.2</v>
      </c>
      <c r="E11" s="23">
        <v>2.1</v>
      </c>
      <c r="F11" s="23">
        <v>3</v>
      </c>
      <c r="G11" s="23">
        <f>SUM(C11:F11)</f>
        <v>6.9</v>
      </c>
      <c r="H11" s="23">
        <v>32.4</v>
      </c>
      <c r="I11" s="23">
        <v>112.32</v>
      </c>
    </row>
    <row r="12" spans="2:9">
      <c r="B12" s="10" t="s">
        <v>159</v>
      </c>
      <c r="C12" s="24">
        <f>C10+C11</f>
        <v>4.5</v>
      </c>
      <c r="D12" s="24">
        <f>D10+D11</f>
        <v>9</v>
      </c>
      <c r="E12" s="24">
        <f>E10+E11</f>
        <v>15.75</v>
      </c>
      <c r="F12" s="24">
        <f>F10+F11</f>
        <v>22.5</v>
      </c>
      <c r="G12" s="24">
        <f>SUM(G10:G11)</f>
        <v>51.75</v>
      </c>
      <c r="H12" s="24">
        <f>H10+H11</f>
        <v>219.6</v>
      </c>
      <c r="I12" s="24">
        <f>I10+I11</f>
        <v>707.2</v>
      </c>
    </row>
    <row r="13" spans="2:9">
      <c r="B13" s="38" t="s">
        <v>160</v>
      </c>
      <c r="C13" s="38"/>
      <c r="D13" s="38"/>
      <c r="E13" s="38"/>
      <c r="F13" s="38"/>
      <c r="G13" s="38"/>
      <c r="H13" s="38"/>
      <c r="I13" s="38"/>
    </row>
    <row r="14" spans="2:9">
      <c r="B14" s="39"/>
      <c r="C14" s="39"/>
      <c r="D14" s="39"/>
      <c r="E14" s="39"/>
      <c r="F14" s="39"/>
      <c r="G14" s="39"/>
      <c r="H14" s="39"/>
      <c r="I14" s="39"/>
    </row>
    <row r="15" spans="2:9">
      <c r="B15" s="3" t="s">
        <v>161</v>
      </c>
      <c r="C15" s="23">
        <v>0.24</v>
      </c>
      <c r="D15" s="23">
        <v>0.48</v>
      </c>
      <c r="E15" s="23">
        <v>0.84</v>
      </c>
      <c r="F15" s="23">
        <v>1.2</v>
      </c>
      <c r="G15" s="23">
        <f>SUM(C15:F15)</f>
        <v>2.76</v>
      </c>
      <c r="H15" s="23">
        <v>12.96</v>
      </c>
      <c r="I15" s="23">
        <v>41.6</v>
      </c>
    </row>
    <row r="16" spans="2:9">
      <c r="B16" s="3" t="s">
        <v>162</v>
      </c>
      <c r="C16" s="23">
        <v>0.3</v>
      </c>
      <c r="D16" s="23">
        <v>0.6</v>
      </c>
      <c r="E16" s="23">
        <v>1.05</v>
      </c>
      <c r="F16" s="23">
        <v>1.5</v>
      </c>
      <c r="G16" s="23">
        <f>SUM(C16:F16)</f>
        <v>3.45</v>
      </c>
      <c r="H16" s="23">
        <v>16.2</v>
      </c>
      <c r="I16" s="23">
        <v>52</v>
      </c>
    </row>
    <row r="17" spans="2:9">
      <c r="B17" s="3" t="s">
        <v>163</v>
      </c>
      <c r="C17" s="23">
        <v>0.48</v>
      </c>
      <c r="D17" s="23">
        <v>0.96</v>
      </c>
      <c r="E17" s="23">
        <v>1.68</v>
      </c>
      <c r="F17" s="23">
        <v>2.4</v>
      </c>
      <c r="G17" s="23">
        <f>SUM(C17:F17)</f>
        <v>5.52</v>
      </c>
      <c r="H17" s="23">
        <v>25.92</v>
      </c>
      <c r="I17" s="23">
        <v>83.2</v>
      </c>
    </row>
    <row r="18" spans="2:9">
      <c r="B18" s="3" t="s">
        <v>164</v>
      </c>
      <c r="C18" s="23">
        <v>0.54</v>
      </c>
      <c r="D18" s="23">
        <v>1.08</v>
      </c>
      <c r="E18" s="23">
        <v>1.89</v>
      </c>
      <c r="F18" s="23">
        <v>2.7</v>
      </c>
      <c r="G18" s="23">
        <f>SUM(C18:F18)</f>
        <v>6.21</v>
      </c>
      <c r="H18" s="23">
        <v>23.33</v>
      </c>
      <c r="I18" s="23">
        <v>67.39</v>
      </c>
    </row>
    <row r="19" spans="2:9">
      <c r="B19" s="10" t="s">
        <v>165</v>
      </c>
      <c r="C19" s="24">
        <f t="shared" ref="C19:I19" si="0">SUM(C15:C18)</f>
        <v>1.56</v>
      </c>
      <c r="D19" s="24">
        <f t="shared" si="0"/>
        <v>3.12</v>
      </c>
      <c r="E19" s="24">
        <f t="shared" si="0"/>
        <v>5.46</v>
      </c>
      <c r="F19" s="24">
        <f t="shared" si="0"/>
        <v>7.8</v>
      </c>
      <c r="G19" s="24">
        <f t="shared" si="0"/>
        <v>17.940000000000001</v>
      </c>
      <c r="H19" s="24">
        <f t="shared" si="0"/>
        <v>78.41</v>
      </c>
      <c r="I19" s="24">
        <f t="shared" si="0"/>
        <v>244.19</v>
      </c>
    </row>
    <row r="20" spans="2:9">
      <c r="B20" s="10" t="s">
        <v>166</v>
      </c>
      <c r="C20" s="24">
        <f t="shared" ref="C20:I20" si="1">C12-C19</f>
        <v>2.94</v>
      </c>
      <c r="D20" s="24">
        <f t="shared" si="1"/>
        <v>5.88</v>
      </c>
      <c r="E20" s="24">
        <f t="shared" si="1"/>
        <v>10.29</v>
      </c>
      <c r="F20" s="24">
        <f t="shared" si="1"/>
        <v>14.7</v>
      </c>
      <c r="G20" s="24">
        <f t="shared" si="1"/>
        <v>33.81</v>
      </c>
      <c r="H20" s="24">
        <f t="shared" si="1"/>
        <v>141.19</v>
      </c>
      <c r="I20" s="24">
        <f t="shared" si="1"/>
        <v>463.01000000000005</v>
      </c>
    </row>
    <row r="21" spans="2:9">
      <c r="B21" s="3" t="s">
        <v>119</v>
      </c>
      <c r="C21" s="25">
        <f t="shared" ref="C21:I21" si="2">C20/C12</f>
        <v>0.65333333333333332</v>
      </c>
      <c r="D21" s="25">
        <f t="shared" si="2"/>
        <v>0.65333333333333332</v>
      </c>
      <c r="E21" s="25">
        <f t="shared" si="2"/>
        <v>0.65333333333333332</v>
      </c>
      <c r="F21" s="25">
        <f t="shared" si="2"/>
        <v>0.65333333333333332</v>
      </c>
      <c r="G21" s="25">
        <f t="shared" si="2"/>
        <v>0.65333333333333343</v>
      </c>
      <c r="H21" s="25">
        <f t="shared" si="2"/>
        <v>0.64294171220400731</v>
      </c>
      <c r="I21" s="25">
        <f t="shared" si="2"/>
        <v>0.65470871040723988</v>
      </c>
    </row>
    <row r="22" spans="2:9">
      <c r="B22" s="38" t="s">
        <v>167</v>
      </c>
      <c r="C22" s="38"/>
      <c r="D22" s="38"/>
      <c r="E22" s="38"/>
      <c r="F22" s="38"/>
      <c r="G22" s="38"/>
      <c r="H22" s="38"/>
      <c r="I22" s="38"/>
    </row>
    <row r="23" spans="2:9">
      <c r="B23" s="39"/>
      <c r="C23" s="39"/>
      <c r="D23" s="39"/>
      <c r="E23" s="39"/>
      <c r="F23" s="39"/>
      <c r="G23" s="39"/>
      <c r="H23" s="39"/>
      <c r="I23" s="39"/>
    </row>
    <row r="24" spans="2:9">
      <c r="B24" s="3" t="s">
        <v>168</v>
      </c>
      <c r="C24" s="23">
        <v>3</v>
      </c>
      <c r="D24" s="23">
        <v>3</v>
      </c>
      <c r="E24" s="23">
        <v>4.5</v>
      </c>
      <c r="F24" s="23">
        <v>4.5</v>
      </c>
      <c r="G24" s="23">
        <f>SUM(C24:F24)</f>
        <v>15</v>
      </c>
      <c r="H24" s="23">
        <v>39</v>
      </c>
      <c r="I24" s="23">
        <v>102</v>
      </c>
    </row>
    <row r="25" spans="2:9">
      <c r="B25" s="3" t="s">
        <v>169</v>
      </c>
      <c r="C25" s="23">
        <v>6</v>
      </c>
      <c r="D25" s="23">
        <v>6</v>
      </c>
      <c r="E25" s="23">
        <v>7.5</v>
      </c>
      <c r="F25" s="23">
        <v>7.5</v>
      </c>
      <c r="G25" s="23">
        <f>SUM(C25:F25)</f>
        <v>27</v>
      </c>
      <c r="H25" s="23">
        <v>42</v>
      </c>
      <c r="I25" s="23">
        <v>78</v>
      </c>
    </row>
    <row r="26" spans="2:9">
      <c r="B26" s="3" t="s">
        <v>170</v>
      </c>
      <c r="C26" s="23">
        <v>1.5</v>
      </c>
      <c r="D26" s="23">
        <v>1.5</v>
      </c>
      <c r="E26" s="23">
        <v>2</v>
      </c>
      <c r="F26" s="23">
        <v>2</v>
      </c>
      <c r="G26" s="23">
        <f>SUM(C26:F26)</f>
        <v>7</v>
      </c>
      <c r="H26" s="23">
        <v>12</v>
      </c>
      <c r="I26" s="23">
        <v>24</v>
      </c>
    </row>
    <row r="27" spans="2:9">
      <c r="B27" s="10" t="s">
        <v>171</v>
      </c>
      <c r="C27" s="24">
        <f t="shared" ref="C27:I27" si="3">SUM(C24:C26)</f>
        <v>10.5</v>
      </c>
      <c r="D27" s="24">
        <f t="shared" si="3"/>
        <v>10.5</v>
      </c>
      <c r="E27" s="24">
        <f t="shared" si="3"/>
        <v>14</v>
      </c>
      <c r="F27" s="24">
        <f t="shared" si="3"/>
        <v>14</v>
      </c>
      <c r="G27" s="24">
        <f t="shared" si="3"/>
        <v>49</v>
      </c>
      <c r="H27" s="24">
        <f t="shared" si="3"/>
        <v>93</v>
      </c>
      <c r="I27" s="24">
        <f t="shared" si="3"/>
        <v>204</v>
      </c>
    </row>
    <row r="28" spans="2:9">
      <c r="B28" s="40"/>
      <c r="C28" s="41"/>
      <c r="D28" s="41"/>
      <c r="E28" s="41"/>
      <c r="F28" s="41"/>
      <c r="G28" s="41"/>
      <c r="H28" s="41"/>
      <c r="I28" s="41"/>
    </row>
    <row r="29" spans="2:9">
      <c r="B29" s="10" t="s">
        <v>172</v>
      </c>
      <c r="C29" s="26">
        <f t="shared" ref="C29:I29" si="4">C20-C27</f>
        <v>-7.5600000000000005</v>
      </c>
      <c r="D29" s="26">
        <f t="shared" si="4"/>
        <v>-4.62</v>
      </c>
      <c r="E29" s="26">
        <f t="shared" si="4"/>
        <v>-3.7100000000000009</v>
      </c>
      <c r="F29" s="26">
        <f t="shared" si="4"/>
        <v>0.69999999999999929</v>
      </c>
      <c r="G29" s="26">
        <f t="shared" si="4"/>
        <v>-15.189999999999998</v>
      </c>
      <c r="H29" s="26">
        <f t="shared" si="4"/>
        <v>48.19</v>
      </c>
      <c r="I29" s="26">
        <f t="shared" si="4"/>
        <v>259.01000000000005</v>
      </c>
    </row>
    <row r="30" spans="2:9">
      <c r="B30" s="3" t="s">
        <v>173</v>
      </c>
      <c r="C30" s="25">
        <f t="shared" ref="C30:I30" si="5">C29/C12</f>
        <v>-1.6800000000000002</v>
      </c>
      <c r="D30" s="25">
        <f t="shared" si="5"/>
        <v>-0.51333333333333331</v>
      </c>
      <c r="E30" s="25">
        <f t="shared" si="5"/>
        <v>-0.2355555555555556</v>
      </c>
      <c r="F30" s="25">
        <f t="shared" si="5"/>
        <v>3.1111111111111079E-2</v>
      </c>
      <c r="G30" s="25">
        <f t="shared" si="5"/>
        <v>-0.29352657004830912</v>
      </c>
      <c r="H30" s="25">
        <f t="shared" si="5"/>
        <v>0.21944444444444444</v>
      </c>
      <c r="I30" s="25">
        <f t="shared" si="5"/>
        <v>0.36624717194570139</v>
      </c>
    </row>
  </sheetData>
  <mergeCells count="4">
    <mergeCell ref="B28:I28"/>
    <mergeCell ref="B8:I9"/>
    <mergeCell ref="B13:I14"/>
    <mergeCell ref="B22:I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24"/>
  <sheetViews>
    <sheetView topLeftCell="A7" workbookViewId="0">
      <selection activeCell="J10" sqref="J10"/>
    </sheetView>
  </sheetViews>
  <sheetFormatPr defaultRowHeight="15"/>
  <cols>
    <col min="1" max="1" width="14" customWidth="1"/>
    <col min="2" max="2" width="30.140625" customWidth="1"/>
    <col min="3" max="3" width="14" customWidth="1"/>
    <col min="4" max="4" width="24.5703125" customWidth="1"/>
    <col min="5" max="5" width="25.7109375" customWidth="1"/>
    <col min="6" max="6" width="24.85546875" customWidth="1"/>
    <col min="7" max="7" width="23.42578125" customWidth="1"/>
    <col min="8" max="8" width="23.28515625" customWidth="1"/>
  </cols>
  <sheetData>
    <row r="2" spans="2:8" ht="19.5">
      <c r="B2" s="1" t="s">
        <v>174</v>
      </c>
      <c r="C2" s="18"/>
      <c r="D2" s="18"/>
      <c r="E2" s="18"/>
      <c r="F2" s="18"/>
      <c r="G2" s="18"/>
      <c r="H2" s="18"/>
    </row>
    <row r="3" spans="2:8">
      <c r="B3" s="2" t="s">
        <v>175</v>
      </c>
      <c r="C3" s="18"/>
      <c r="D3" s="18"/>
      <c r="E3" s="18"/>
      <c r="F3" s="18"/>
      <c r="G3" s="18"/>
      <c r="H3" s="18"/>
    </row>
    <row r="5" spans="2:8">
      <c r="B5" s="42" t="s">
        <v>176</v>
      </c>
      <c r="C5" s="42"/>
      <c r="D5" s="42"/>
      <c r="E5" s="42"/>
      <c r="F5" s="42"/>
      <c r="G5" s="42"/>
      <c r="H5" s="42"/>
    </row>
    <row r="6" spans="2:8">
      <c r="B6" s="14" t="s">
        <v>177</v>
      </c>
      <c r="C6" s="18"/>
      <c r="D6" s="15">
        <v>40000</v>
      </c>
      <c r="E6" s="15">
        <v>50000</v>
      </c>
      <c r="F6" s="15">
        <v>60000</v>
      </c>
      <c r="G6" s="15">
        <v>75000</v>
      </c>
      <c r="H6" s="15">
        <v>90000</v>
      </c>
    </row>
    <row r="7" spans="2:8">
      <c r="B7" s="14" t="s">
        <v>178</v>
      </c>
      <c r="C7" s="20">
        <v>0.05</v>
      </c>
      <c r="D7" s="21">
        <f t="shared" ref="D7:H11" si="0">(400*0.12*(D$6/10*6)*$C7)/(400*35*10)</f>
        <v>0.41142857142857142</v>
      </c>
      <c r="E7" s="21">
        <f t="shared" si="0"/>
        <v>0.51428571428571423</v>
      </c>
      <c r="F7" s="21">
        <f t="shared" si="0"/>
        <v>0.6171428571428571</v>
      </c>
      <c r="G7" s="21">
        <f t="shared" si="0"/>
        <v>0.77142857142857146</v>
      </c>
      <c r="H7" s="21">
        <f t="shared" si="0"/>
        <v>0.92571428571428571</v>
      </c>
    </row>
    <row r="8" spans="2:8">
      <c r="B8" s="14" t="s">
        <v>179</v>
      </c>
      <c r="C8" s="20">
        <v>0.1</v>
      </c>
      <c r="D8" s="21">
        <f t="shared" si="0"/>
        <v>0.82285714285714284</v>
      </c>
      <c r="E8" s="21">
        <f t="shared" si="0"/>
        <v>1.0285714285714285</v>
      </c>
      <c r="F8" s="21">
        <f t="shared" si="0"/>
        <v>1.2342857142857142</v>
      </c>
      <c r="G8" s="21">
        <f t="shared" si="0"/>
        <v>1.5428571428571429</v>
      </c>
      <c r="H8" s="21">
        <f t="shared" si="0"/>
        <v>1.8514285714285714</v>
      </c>
    </row>
    <row r="9" spans="2:8">
      <c r="B9" s="14" t="s">
        <v>180</v>
      </c>
      <c r="C9" s="20">
        <v>0.15</v>
      </c>
      <c r="D9" s="21">
        <f t="shared" si="0"/>
        <v>1.2342857142857142</v>
      </c>
      <c r="E9" s="21">
        <f t="shared" si="0"/>
        <v>1.5428571428571429</v>
      </c>
      <c r="F9" s="21">
        <f t="shared" si="0"/>
        <v>1.8514285714285714</v>
      </c>
      <c r="G9" s="21">
        <f t="shared" si="0"/>
        <v>2.3142857142857145</v>
      </c>
      <c r="H9" s="21">
        <f t="shared" si="0"/>
        <v>2.7771428571428571</v>
      </c>
    </row>
    <row r="10" spans="2:8">
      <c r="B10" s="14" t="s">
        <v>181</v>
      </c>
      <c r="C10" s="20">
        <v>0.2</v>
      </c>
      <c r="D10" s="21">
        <f t="shared" si="0"/>
        <v>1.6457142857142857</v>
      </c>
      <c r="E10" s="21">
        <f t="shared" si="0"/>
        <v>2.0571428571428569</v>
      </c>
      <c r="F10" s="21">
        <f t="shared" si="0"/>
        <v>2.4685714285714284</v>
      </c>
      <c r="G10" s="21">
        <f t="shared" si="0"/>
        <v>3.0857142857142859</v>
      </c>
      <c r="H10" s="21">
        <f t="shared" si="0"/>
        <v>3.7028571428571428</v>
      </c>
    </row>
    <row r="11" spans="2:8">
      <c r="B11" s="14" t="s">
        <v>182</v>
      </c>
      <c r="C11" s="20">
        <v>0.25</v>
      </c>
      <c r="D11" s="21">
        <f t="shared" si="0"/>
        <v>2.0571428571428569</v>
      </c>
      <c r="E11" s="21">
        <f t="shared" si="0"/>
        <v>2.5714285714285716</v>
      </c>
      <c r="F11" s="21">
        <f t="shared" si="0"/>
        <v>3.0857142857142859</v>
      </c>
      <c r="G11" s="21">
        <f t="shared" si="0"/>
        <v>3.8571428571428572</v>
      </c>
      <c r="H11" s="21">
        <f t="shared" si="0"/>
        <v>4.628571428571429</v>
      </c>
    </row>
    <row r="13" spans="2:8">
      <c r="B13" s="2" t="s">
        <v>183</v>
      </c>
      <c r="C13" s="18"/>
      <c r="D13" s="18"/>
      <c r="E13" s="18"/>
      <c r="F13" s="18"/>
      <c r="G13" s="18"/>
      <c r="H13" s="18"/>
    </row>
    <row r="16" spans="2:8">
      <c r="B16" s="43" t="s">
        <v>184</v>
      </c>
      <c r="C16" s="43"/>
      <c r="D16" s="43"/>
      <c r="E16" s="43"/>
      <c r="F16" s="43"/>
      <c r="G16" s="43"/>
      <c r="H16" s="43"/>
    </row>
    <row r="17" spans="2:8">
      <c r="B17" s="14" t="s">
        <v>185</v>
      </c>
      <c r="C17" s="18"/>
      <c r="D17" s="15">
        <v>20000</v>
      </c>
      <c r="E17" s="15">
        <v>25000</v>
      </c>
      <c r="F17" s="15">
        <v>30000</v>
      </c>
      <c r="G17" s="15">
        <v>35000</v>
      </c>
      <c r="H17" s="15">
        <v>40000</v>
      </c>
    </row>
    <row r="18" spans="2:8">
      <c r="B18" s="14" t="s">
        <v>186</v>
      </c>
      <c r="C18" s="20">
        <v>0.08</v>
      </c>
      <c r="D18" s="21">
        <f>((1/$C18)*10*'Platform Unit Economics'!C10)/D$17</f>
        <v>47.493749999999999</v>
      </c>
      <c r="E18" s="21">
        <f>((1/$C18)*10*'Platform Unit Economics'!C10)/E$17</f>
        <v>37.994999999999997</v>
      </c>
      <c r="F18" s="21">
        <f>((1/$C18)*10*'Platform Unit Economics'!C10)/F$17</f>
        <v>31.662500000000001</v>
      </c>
      <c r="G18" s="21">
        <f>((1/$C18)*10*'Platform Unit Economics'!C10)/G$17</f>
        <v>27.139285714285716</v>
      </c>
      <c r="H18" s="21">
        <f>((1/$C18)*10*'Platform Unit Economics'!C10)/H$17</f>
        <v>23.746874999999999</v>
      </c>
    </row>
    <row r="19" spans="2:8">
      <c r="B19" s="14" t="s">
        <v>187</v>
      </c>
      <c r="C19" s="20">
        <v>0.1</v>
      </c>
      <c r="D19" s="21">
        <f>((1/$C19)*10*'Platform Unit Economics'!C10)/D$17</f>
        <v>37.994999999999997</v>
      </c>
      <c r="E19" s="21">
        <f>((1/$C19)*10*'Platform Unit Economics'!C10)/E$17</f>
        <v>30.396000000000001</v>
      </c>
      <c r="F19" s="21">
        <f>((1/$C19)*10*'Platform Unit Economics'!C10)/F$17</f>
        <v>25.33</v>
      </c>
      <c r="G19" s="21">
        <f>((1/$C19)*10*'Platform Unit Economics'!C10)/G$17</f>
        <v>21.71142857142857</v>
      </c>
      <c r="H19" s="21">
        <f>((1/$C19)*10*'Platform Unit Economics'!C10)/H$17</f>
        <v>18.997499999999999</v>
      </c>
    </row>
    <row r="20" spans="2:8">
      <c r="B20" s="14" t="s">
        <v>188</v>
      </c>
      <c r="C20" s="20">
        <v>0.12</v>
      </c>
      <c r="D20" s="21">
        <f>((1/$C20)*10*'Platform Unit Economics'!C10)/D$17</f>
        <v>31.662500000000005</v>
      </c>
      <c r="E20" s="21">
        <f>((1/$C20)*10*'Platform Unit Economics'!C10)/E$17</f>
        <v>25.330000000000005</v>
      </c>
      <c r="F20" s="21">
        <f>((1/$C20)*10*'Platform Unit Economics'!C10)/F$17</f>
        <v>21.108333333333338</v>
      </c>
      <c r="G20" s="21">
        <f>((1/$C20)*10*'Platform Unit Economics'!C10)/G$17</f>
        <v>18.092857142857145</v>
      </c>
      <c r="H20" s="21">
        <f>((1/$C20)*10*'Platform Unit Economics'!C10)/H$17</f>
        <v>15.831250000000002</v>
      </c>
    </row>
    <row r="21" spans="2:8">
      <c r="B21" s="14" t="s">
        <v>189</v>
      </c>
      <c r="C21" s="20">
        <v>0.15</v>
      </c>
      <c r="D21" s="21">
        <f>((1/$C21)*10*'Platform Unit Economics'!C10)/D$17</f>
        <v>25.330000000000002</v>
      </c>
      <c r="E21" s="21">
        <f>((1/$C21)*10*'Platform Unit Economics'!C10)/E$17</f>
        <v>20.264000000000003</v>
      </c>
      <c r="F21" s="21">
        <f>((1/$C21)*10*'Platform Unit Economics'!C10)/F$17</f>
        <v>16.88666666666667</v>
      </c>
      <c r="G21" s="21">
        <f>((1/$C21)*10*'Platform Unit Economics'!C10)/G$17</f>
        <v>14.474285714285715</v>
      </c>
      <c r="H21" s="21">
        <f>((1/$C21)*10*'Platform Unit Economics'!C10)/H$17</f>
        <v>12.665000000000001</v>
      </c>
    </row>
    <row r="22" spans="2:8">
      <c r="B22" s="14" t="s">
        <v>190</v>
      </c>
      <c r="C22" s="20">
        <v>0.2</v>
      </c>
      <c r="D22" s="21">
        <f>((1/$C22)*10*'Platform Unit Economics'!C10)/D$17</f>
        <v>18.997499999999999</v>
      </c>
      <c r="E22" s="21">
        <f>((1/$C22)*10*'Platform Unit Economics'!C10)/E$17</f>
        <v>15.198</v>
      </c>
      <c r="F22" s="21">
        <f>((1/$C22)*10*'Platform Unit Economics'!C10)/F$17</f>
        <v>12.664999999999999</v>
      </c>
      <c r="G22" s="21">
        <f>((1/$C22)*10*'Platform Unit Economics'!C10)/G$17</f>
        <v>10.855714285714285</v>
      </c>
      <c r="H22" s="21">
        <f>((1/$C22)*10*'Platform Unit Economics'!C10)/H$17</f>
        <v>9.4987499999999994</v>
      </c>
    </row>
    <row r="24" spans="2:8">
      <c r="B24" s="2" t="s">
        <v>191</v>
      </c>
      <c r="C24" s="18"/>
      <c r="D24" s="18"/>
      <c r="E24" s="18"/>
      <c r="F24" s="18"/>
      <c r="G24" s="18"/>
      <c r="H24" s="18"/>
    </row>
  </sheetData>
  <mergeCells count="2">
    <mergeCell ref="B5:H5"/>
    <mergeCell ref="B16:H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Anonymous ---1</cp:lastModifiedBy>
  <cp:revision/>
  <dcterms:created xsi:type="dcterms:W3CDTF">2026-10-20T08:09:23Z</dcterms:created>
  <dcterms:modified xsi:type="dcterms:W3CDTF">2026-10-23T20:02:29Z</dcterms:modified>
  <cp:category/>
  <cp:contentStatus/>
</cp:coreProperties>
</file>